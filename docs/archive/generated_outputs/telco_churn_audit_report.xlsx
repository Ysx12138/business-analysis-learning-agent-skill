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体对比" sheetId="1" state="visible" r:id="rId1"/>
    <sheet xmlns:r="http://schemas.openxmlformats.org/officeDocument/2006/relationships" name="按合同类型" sheetId="2" state="visible" r:id="rId2"/>
    <sheet xmlns:r="http://schemas.openxmlformats.org/officeDocument/2006/relationships" name="按在网时长" sheetId="3" state="visible" r:id="rId3"/>
    <sheet xmlns:r="http://schemas.openxmlformats.org/officeDocument/2006/relationships" name="按服务类别" sheetId="4" state="visible" r:id="rId4"/>
    <sheet xmlns:r="http://schemas.openxmlformats.org/officeDocument/2006/relationships" name="交叉分析" sheetId="5" state="visible" r:id="rId5"/>
    <sheet xmlns:r="http://schemas.openxmlformats.org/officeDocument/2006/relationships" name="分析看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6"/>
    </font>
    <font>
      <name val="Arial"/>
      <b val="1"/>
      <color rgb="002F5496"/>
      <sz val="24"/>
    </font>
    <font>
      <name val="Arial"/>
      <b val="1"/>
      <color rgb="002F5496"/>
      <sz val="11"/>
    </font>
    <font>
      <name val="Arial"/>
      <color rgb="00666666"/>
      <sz val="9"/>
    </font>
    <font>
      <name val="Arial"/>
      <b val="1"/>
      <color rgb="002F5496"/>
      <sz val="13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  <fill>
      <patternFill patternType="solid">
        <fgColor rgb="00F2F7FB"/>
        <bgColor rgb="00F2F7FB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164" fontId="3" fillId="0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6" fillId="0" borderId="1" applyAlignment="1" pivotButton="0" quotePrefix="0" xfId="0">
      <alignment horizontal="center"/>
    </xf>
    <xf numFmtId="0" fontId="0" fillId="0" borderId="1" pivotButton="0" quotePrefix="0" xfId="0"/>
    <xf numFmtId="0" fontId="7" fillId="0" borderId="1" applyAlignment="1" pivotButton="0" quotePrefix="0" xfId="0">
      <alignment horizontal="center" wrapText="1"/>
    </xf>
    <xf numFmtId="0" fontId="8" fillId="0" borderId="0" applyAlignment="1" pivotButton="0" quotePrefix="0" xfId="0">
      <alignment horizontal="left"/>
    </xf>
    <xf numFmtId="0" fontId="2" fillId="5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各合同类型流失率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'按合同类型'!F3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'按合同类型'!$A$4:$A$6</f>
            </numRef>
          </cat>
          <val>
            <numRef>
              <f>'按合同类型'!$F$4:$F$6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流失率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在网时长分组流失率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'按在网时长'!F3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'按在网时长'!$A$4:$A$8</f>
            </numRef>
          </cat>
          <val>
            <numRef>
              <f>'按在网时长'!$F$4:$F$8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合同类型 × 在网时长 流失率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'交叉分析'!B3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'交叉分析'!$A$4:$A$6</f>
            </numRef>
          </cat>
          <val>
            <numRef>
              <f>'交叉分析'!$B$4:$B$6</f>
            </numRef>
          </val>
        </ser>
        <ser>
          <idx val="1"/>
          <order val="1"/>
          <tx>
            <strRef>
              <f>'交叉分析'!C3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'交叉分析'!$A$4:$A$6</f>
            </numRef>
          </cat>
          <val>
            <numRef>
              <f>'交叉分析'!$C$4:$C$6</f>
            </numRef>
          </val>
        </ser>
        <ser>
          <idx val="2"/>
          <order val="2"/>
          <tx>
            <strRef>
              <f>'交叉分析'!D3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'交叉分析'!$A$4:$A$6</f>
            </numRef>
          </cat>
          <val>
            <numRef>
              <f>'交叉分析'!$D$4:$D$6</f>
            </numRef>
          </val>
        </ser>
        <ser>
          <idx val="3"/>
          <order val="3"/>
          <tx>
            <strRef>
              <f>'交叉分析'!E3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'交叉分析'!$A$4:$A$6</f>
            </numRef>
          </cat>
          <val>
            <numRef>
              <f>'交叉分析'!$E$4:$E$6</f>
            </numRef>
          </val>
        </ser>
        <ser>
          <idx val="4"/>
          <order val="4"/>
          <tx>
            <strRef>
              <f>'交叉分析'!F3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'交叉分析'!$A$4:$A$6</f>
            </numRef>
          </cat>
          <val>
            <numRef>
              <f>'交叉分析'!$F$4:$F$6</f>
            </numRef>
          </val>
        </ser>
        <ser>
          <idx val="5"/>
          <order val="5"/>
          <tx>
            <strRef>
              <f>'交叉分析'!G3</f>
            </strRef>
          </tx>
          <spPr>
            <a:ln xmlns:a="http://schemas.openxmlformats.org/drawingml/2006/main">
              <a:prstDash val="solid"/>
            </a:ln>
          </spPr>
          <cat>
            <numRef>
              <f>'交叉分析'!$A$4:$A$6</f>
            </numRef>
          </cat>
          <val>
            <numRef>
              <f>'交叉分析'!$G$4:$G$6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9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7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4" customWidth="1" min="4" max="4"/>
    <col width="12" customWidth="1" min="5" max="5"/>
  </cols>
  <sheetData>
    <row r="1">
      <c r="A1" s="1" t="inlineStr">
        <is>
          <t>📊 Telco Churn - 整体对比</t>
        </is>
      </c>
    </row>
    <row r="3">
      <c r="A3" s="2" t="inlineStr">
        <is>
          <t>指标</t>
        </is>
      </c>
      <c r="B3" s="2" t="inlineStr">
        <is>
          <t>总体</t>
        </is>
      </c>
      <c r="C3" s="2" t="inlineStr">
        <is>
          <t>未流失 (No)</t>
        </is>
      </c>
      <c r="D3" s="2" t="inlineStr">
        <is>
          <t>流失 (Yes)</t>
        </is>
      </c>
      <c r="E3" s="2" t="inlineStr">
        <is>
          <t>差异倍数</t>
        </is>
      </c>
    </row>
    <row r="4">
      <c r="A4" s="3" t="inlineStr">
        <is>
          <t>客户数</t>
        </is>
      </c>
      <c r="B4" s="3" t="n">
        <v>7032</v>
      </c>
      <c r="C4" s="3" t="n">
        <v>5163</v>
      </c>
      <c r="D4" s="3" t="n">
        <v>1869</v>
      </c>
      <c r="E4" s="3" t="inlineStr">
        <is>
          <t>-</t>
        </is>
      </c>
    </row>
    <row r="5">
      <c r="A5" s="4" t="inlineStr">
        <is>
          <t>流失率</t>
        </is>
      </c>
      <c r="B5" s="5" t="n">
        <v>0.2657849829351536</v>
      </c>
      <c r="C5" s="4" t="inlineStr">
        <is>
          <t>-</t>
        </is>
      </c>
      <c r="D5" s="4" t="inlineStr">
        <is>
          <t>-</t>
        </is>
      </c>
      <c r="E5" s="4" t="inlineStr">
        <is>
          <t>-</t>
        </is>
      </c>
    </row>
    <row r="6">
      <c r="A6" s="3" t="inlineStr">
        <is>
          <t>平均在网月数</t>
        </is>
      </c>
      <c r="B6" s="3" t="n">
        <v>32.42178612059158</v>
      </c>
      <c r="C6" s="3" t="n">
        <v>37.65000968429208</v>
      </c>
      <c r="D6" s="3" t="n">
        <v>17.97913322632424</v>
      </c>
      <c r="E6" s="3" t="n">
        <v>2.094094815937324</v>
      </c>
    </row>
    <row r="7">
      <c r="A7" s="4" t="inlineStr">
        <is>
          <t>平均月费</t>
        </is>
      </c>
      <c r="B7" s="4" t="n">
        <v>64.79820819112628</v>
      </c>
      <c r="C7" s="4" t="n">
        <v>61.30740848343986</v>
      </c>
      <c r="D7" s="4" t="n">
        <v>74.44133226324237</v>
      </c>
      <c r="E7" s="4" t="inlineStr">
        <is>
          <t>-</t>
        </is>
      </c>
    </row>
    <row r="8">
      <c r="A8" s="3" t="inlineStr">
        <is>
          <t>平均总费用</t>
        </is>
      </c>
      <c r="B8" s="3" t="n">
        <v>2283.300440841866</v>
      </c>
      <c r="C8" s="3" t="n">
        <v>2555.344141003293</v>
      </c>
      <c r="D8" s="3" t="n">
        <v>1531.796094168004</v>
      </c>
      <c r="E8" s="3" t="inlineStr">
        <is>
          <t>-</t>
        </is>
      </c>
    </row>
    <row r="9">
      <c r="A9" s="4" t="inlineStr">
        <is>
          <t>平均附加服务数</t>
        </is>
      </c>
      <c r="B9" s="4" t="n">
        <v>2.03811149032992</v>
      </c>
      <c r="C9" s="4" t="n">
        <v>2.135773774937052</v>
      </c>
      <c r="D9" s="4" t="n">
        <v>1.76832530765115</v>
      </c>
      <c r="E9" s="4" t="inlineStr">
        <is>
          <t>-</t>
        </is>
      </c>
    </row>
    <row r="10">
      <c r="A10" s="3" t="inlineStr">
        <is>
          <t>有家庭比例</t>
        </is>
      </c>
      <c r="B10" s="3" t="n">
        <v>0.5335608646188851</v>
      </c>
      <c r="C10" s="3" t="n">
        <v>0.5822196397443347</v>
      </c>
      <c r="D10" s="3" t="n">
        <v>0.3991439272338149</v>
      </c>
      <c r="E10" s="3" t="inlineStr">
        <is>
          <t>-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6" t="inlineStr">
        <is>
          <t>📋 按合同类型分析</t>
        </is>
      </c>
    </row>
    <row r="3">
      <c r="A3" s="2" t="inlineStr">
        <is>
          <t>合同类型</t>
        </is>
      </c>
      <c r="B3" s="2" t="inlineStr">
        <is>
          <t>客户数</t>
        </is>
      </c>
      <c r="C3" s="2" t="inlineStr">
        <is>
          <t>占比</t>
        </is>
      </c>
      <c r="D3" s="2" t="inlineStr">
        <is>
          <t>未流失</t>
        </is>
      </c>
      <c r="E3" s="2" t="inlineStr">
        <is>
          <t>流失</t>
        </is>
      </c>
      <c r="F3" s="2" t="inlineStr">
        <is>
          <t>流失率</t>
        </is>
      </c>
    </row>
    <row r="4">
      <c r="A4" s="3" t="inlineStr">
        <is>
          <t>Month-to-month</t>
        </is>
      </c>
      <c r="B4" s="3" t="n">
        <v>3875</v>
      </c>
      <c r="C4" s="7" t="n">
        <v>0.551052332195677</v>
      </c>
      <c r="D4" s="3" t="n">
        <v>2220</v>
      </c>
      <c r="E4" s="3" t="n">
        <v>1655</v>
      </c>
      <c r="F4" s="7" t="n">
        <v>0.4270967741935484</v>
      </c>
    </row>
    <row r="5">
      <c r="A5" s="4" t="inlineStr">
        <is>
          <t>One year</t>
        </is>
      </c>
      <c r="B5" s="4" t="n">
        <v>1472</v>
      </c>
      <c r="C5" s="5" t="n">
        <v>0.2093287827076223</v>
      </c>
      <c r="D5" s="4" t="n">
        <v>1306</v>
      </c>
      <c r="E5" s="4" t="n">
        <v>166</v>
      </c>
      <c r="F5" s="5" t="n">
        <v>0.1127717391304348</v>
      </c>
    </row>
    <row r="6">
      <c r="A6" s="3" t="inlineStr">
        <is>
          <t>Two year</t>
        </is>
      </c>
      <c r="B6" s="3" t="n">
        <v>1685</v>
      </c>
      <c r="C6" s="7" t="n">
        <v>0.2396188850967008</v>
      </c>
      <c r="D6" s="3" t="n">
        <v>1637</v>
      </c>
      <c r="E6" s="3" t="n">
        <v>48</v>
      </c>
      <c r="F6" s="7" t="n">
        <v>0.028486646884273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5B9BD5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6" t="inlineStr">
        <is>
          <t>📋 按在网时长分组分析</t>
        </is>
      </c>
    </row>
    <row r="3">
      <c r="A3" s="2" t="inlineStr">
        <is>
          <t>在网时长</t>
        </is>
      </c>
      <c r="B3" s="2" t="inlineStr">
        <is>
          <t>客户数</t>
        </is>
      </c>
      <c r="C3" s="2" t="inlineStr">
        <is>
          <t>占比</t>
        </is>
      </c>
      <c r="D3" s="2" t="inlineStr">
        <is>
          <t>未流失</t>
        </is>
      </c>
      <c r="E3" s="2" t="inlineStr">
        <is>
          <t>流失</t>
        </is>
      </c>
      <c r="F3" s="2" t="inlineStr">
        <is>
          <t>流失率</t>
        </is>
      </c>
    </row>
    <row r="4">
      <c r="A4" s="3" t="inlineStr">
        <is>
          <t>0-6月</t>
        </is>
      </c>
      <c r="B4" s="3" t="n">
        <v>1470</v>
      </c>
      <c r="C4" s="7" t="n">
        <v>0.2090443686006826</v>
      </c>
      <c r="D4" s="3" t="n">
        <v>686</v>
      </c>
      <c r="E4" s="3" t="n">
        <v>784</v>
      </c>
      <c r="F4" s="7" t="n">
        <v>0.5333333333333333</v>
      </c>
    </row>
    <row r="5">
      <c r="A5" s="4" t="inlineStr">
        <is>
          <t>7-12月</t>
        </is>
      </c>
      <c r="B5" s="4" t="n">
        <v>705</v>
      </c>
      <c r="C5" s="5" t="n">
        <v>0.1002559726962457</v>
      </c>
      <c r="D5" s="4" t="n">
        <v>452</v>
      </c>
      <c r="E5" s="4" t="n">
        <v>253</v>
      </c>
      <c r="F5" s="5" t="n">
        <v>0.3588652482269504</v>
      </c>
    </row>
    <row r="6">
      <c r="A6" s="3" t="inlineStr">
        <is>
          <t>13-24月</t>
        </is>
      </c>
      <c r="B6" s="3" t="n">
        <v>1024</v>
      </c>
      <c r="C6" s="7" t="n">
        <v>0.1456200227531285</v>
      </c>
      <c r="D6" s="3" t="n">
        <v>730</v>
      </c>
      <c r="E6" s="3" t="n">
        <v>294</v>
      </c>
      <c r="F6" s="7" t="n">
        <v>0.287109375</v>
      </c>
    </row>
    <row r="7">
      <c r="A7" s="4" t="inlineStr">
        <is>
          <t>25-48月</t>
        </is>
      </c>
      <c r="B7" s="4" t="n">
        <v>1594</v>
      </c>
      <c r="C7" s="5" t="n">
        <v>0.2266780432309443</v>
      </c>
      <c r="D7" s="4" t="n">
        <v>1269</v>
      </c>
      <c r="E7" s="4" t="n">
        <v>325</v>
      </c>
      <c r="F7" s="5" t="n">
        <v>0.2038895859473024</v>
      </c>
    </row>
    <row r="8">
      <c r="A8" s="3" t="inlineStr">
        <is>
          <t>49-72月</t>
        </is>
      </c>
      <c r="B8" s="3" t="n">
        <v>2239</v>
      </c>
      <c r="C8" s="7" t="n">
        <v>0.3184015927189989</v>
      </c>
      <c r="D8" s="3" t="n">
        <v>2026</v>
      </c>
      <c r="E8" s="3" t="n">
        <v>213</v>
      </c>
      <c r="F8" s="7" t="n">
        <v>0.09513175524787852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8DB4E2"/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6" t="inlineStr">
        <is>
          <t>📋 按服务类别分析</t>
        </is>
      </c>
    </row>
    <row r="3">
      <c r="A3" s="2" t="inlineStr">
        <is>
          <t>服务维度</t>
        </is>
      </c>
      <c r="B3" s="2" t="inlineStr">
        <is>
          <t>类别</t>
        </is>
      </c>
      <c r="C3" s="2" t="inlineStr">
        <is>
          <t>客户数</t>
        </is>
      </c>
      <c r="D3" s="2" t="inlineStr">
        <is>
          <t>占比</t>
        </is>
      </c>
      <c r="E3" s="2" t="inlineStr">
        <is>
          <t>流失数</t>
        </is>
      </c>
      <c r="F3" s="2" t="inlineStr">
        <is>
          <t>流失率</t>
        </is>
      </c>
    </row>
    <row r="4">
      <c r="A4" s="4" t="inlineStr">
        <is>
          <t>互联网服务</t>
        </is>
      </c>
      <c r="B4" s="4" t="inlineStr">
        <is>
          <t>DSL</t>
        </is>
      </c>
      <c r="C4" s="4" t="n">
        <v>2416</v>
      </c>
      <c r="D4" s="5" t="n">
        <v>0.3435722411831627</v>
      </c>
      <c r="E4" s="4" t="n">
        <v>459</v>
      </c>
      <c r="F4" s="5" t="n">
        <v>0.1899834437086093</v>
      </c>
    </row>
    <row r="5">
      <c r="A5" s="3" t="inlineStr"/>
      <c r="B5" s="3" t="inlineStr">
        <is>
          <t>Fiber optic</t>
        </is>
      </c>
      <c r="C5" s="3" t="n">
        <v>3096</v>
      </c>
      <c r="D5" s="7" t="n">
        <v>0.4402730375426621</v>
      </c>
      <c r="E5" s="3" t="n">
        <v>1297</v>
      </c>
      <c r="F5" s="7" t="n">
        <v>0.4189276485788114</v>
      </c>
    </row>
    <row r="6">
      <c r="A6" s="4" t="inlineStr"/>
      <c r="B6" s="4" t="inlineStr">
        <is>
          <t>No</t>
        </is>
      </c>
      <c r="C6" s="4" t="n">
        <v>1520</v>
      </c>
      <c r="D6" s="5" t="n">
        <v>0.2161547212741752</v>
      </c>
      <c r="E6" s="4" t="n">
        <v>113</v>
      </c>
      <c r="F6" s="5" t="n">
        <v>0.07434210526315789</v>
      </c>
    </row>
    <row r="7">
      <c r="A7" s="3" t="inlineStr">
        <is>
          <t>支付方式</t>
        </is>
      </c>
      <c r="B7" s="3" t="inlineStr">
        <is>
          <t>Bank transfer (automatic)</t>
        </is>
      </c>
      <c r="C7" s="3" t="n">
        <v>1542</v>
      </c>
      <c r="D7" s="7" t="n">
        <v>0.2192832764505119</v>
      </c>
      <c r="E7" s="3" t="n">
        <v>258</v>
      </c>
      <c r="F7" s="7" t="n">
        <v>0.1673151750972763</v>
      </c>
    </row>
    <row r="8">
      <c r="A8" s="4" t="inlineStr"/>
      <c r="B8" s="4" t="inlineStr">
        <is>
          <t>Credit card (automatic)</t>
        </is>
      </c>
      <c r="C8" s="4" t="n">
        <v>1521</v>
      </c>
      <c r="D8" s="5" t="n">
        <v>0.216296928327645</v>
      </c>
      <c r="E8" s="4" t="n">
        <v>232</v>
      </c>
      <c r="F8" s="5" t="n">
        <v>0.1525312294543064</v>
      </c>
    </row>
    <row r="9">
      <c r="A9" s="3" t="inlineStr"/>
      <c r="B9" s="3" t="inlineStr">
        <is>
          <t>Electronic check</t>
        </is>
      </c>
      <c r="C9" s="3" t="n">
        <v>2365</v>
      </c>
      <c r="D9" s="7" t="n">
        <v>0.3363196814562002</v>
      </c>
      <c r="E9" s="3" t="n">
        <v>1071</v>
      </c>
      <c r="F9" s="7" t="n">
        <v>0.4528541226215645</v>
      </c>
    </row>
    <row r="10">
      <c r="A10" s="4" t="inlineStr"/>
      <c r="B10" s="4" t="inlineStr">
        <is>
          <t>Mailed check</t>
        </is>
      </c>
      <c r="C10" s="4" t="n">
        <v>1604</v>
      </c>
      <c r="D10" s="5" t="n">
        <v>0.2281001137656428</v>
      </c>
      <c r="E10" s="4" t="n">
        <v>308</v>
      </c>
      <c r="F10" s="5" t="n">
        <v>0.1920199501246883</v>
      </c>
    </row>
    <row r="11">
      <c r="A11" s="3" t="inlineStr">
        <is>
          <t>在线安全</t>
        </is>
      </c>
      <c r="B11" s="3" t="inlineStr">
        <is>
          <t>No</t>
        </is>
      </c>
      <c r="C11" s="3" t="n">
        <v>3497</v>
      </c>
      <c r="D11" s="7" t="n">
        <v>0.4972980659840728</v>
      </c>
      <c r="E11" s="3" t="n">
        <v>1461</v>
      </c>
      <c r="F11" s="7" t="n">
        <v>0.4177866742922505</v>
      </c>
    </row>
    <row r="12">
      <c r="A12" s="4" t="inlineStr"/>
      <c r="B12" s="4" t="inlineStr">
        <is>
          <t>No internet service</t>
        </is>
      </c>
      <c r="C12" s="4" t="n">
        <v>1520</v>
      </c>
      <c r="D12" s="5" t="n">
        <v>0.2161547212741752</v>
      </c>
      <c r="E12" s="4" t="n">
        <v>113</v>
      </c>
      <c r="F12" s="5" t="n">
        <v>0.07434210526315789</v>
      </c>
    </row>
    <row r="13">
      <c r="A13" s="3" t="inlineStr"/>
      <c r="B13" s="3" t="inlineStr">
        <is>
          <t>Yes</t>
        </is>
      </c>
      <c r="C13" s="3" t="n">
        <v>2015</v>
      </c>
      <c r="D13" s="7" t="n">
        <v>0.286547212741752</v>
      </c>
      <c r="E13" s="3" t="n">
        <v>295</v>
      </c>
      <c r="F13" s="7" t="n">
        <v>0.1464019851116625</v>
      </c>
    </row>
    <row r="14">
      <c r="A14" s="4" t="inlineStr">
        <is>
          <t>技术支持</t>
        </is>
      </c>
      <c r="B14" s="4" t="inlineStr">
        <is>
          <t>No</t>
        </is>
      </c>
      <c r="C14" s="4" t="n">
        <v>3472</v>
      </c>
      <c r="D14" s="5" t="n">
        <v>0.4937428896473265</v>
      </c>
      <c r="E14" s="4" t="n">
        <v>1446</v>
      </c>
      <c r="F14" s="5" t="n">
        <v>0.4164746543778802</v>
      </c>
    </row>
    <row r="15">
      <c r="A15" s="3" t="inlineStr"/>
      <c r="B15" s="3" t="inlineStr">
        <is>
          <t>No internet service</t>
        </is>
      </c>
      <c r="C15" s="3" t="n">
        <v>1520</v>
      </c>
      <c r="D15" s="7" t="n">
        <v>0.2161547212741752</v>
      </c>
      <c r="E15" s="3" t="n">
        <v>113</v>
      </c>
      <c r="F15" s="7" t="n">
        <v>0.07434210526315789</v>
      </c>
    </row>
    <row r="16">
      <c r="A16" s="4" t="inlineStr"/>
      <c r="B16" s="4" t="inlineStr">
        <is>
          <t>Yes</t>
        </is>
      </c>
      <c r="C16" s="4" t="n">
        <v>2040</v>
      </c>
      <c r="D16" s="5" t="n">
        <v>0.2901023890784983</v>
      </c>
      <c r="E16" s="4" t="n">
        <v>310</v>
      </c>
      <c r="F16" s="5" t="n">
        <v>0.1519607843137255</v>
      </c>
    </row>
    <row r="17">
      <c r="A17" s="3" t="inlineStr">
        <is>
          <t>在线备份</t>
        </is>
      </c>
      <c r="B17" s="3" t="inlineStr">
        <is>
          <t>No</t>
        </is>
      </c>
      <c r="C17" s="3" t="n">
        <v>3087</v>
      </c>
      <c r="D17" s="7" t="n">
        <v>0.4389931740614335</v>
      </c>
      <c r="E17" s="3" t="n">
        <v>1233</v>
      </c>
      <c r="F17" s="7" t="n">
        <v>0.3994169096209912</v>
      </c>
    </row>
    <row r="18">
      <c r="A18" s="4" t="inlineStr"/>
      <c r="B18" s="4" t="inlineStr">
        <is>
          <t>No internet service</t>
        </is>
      </c>
      <c r="C18" s="4" t="n">
        <v>1520</v>
      </c>
      <c r="D18" s="5" t="n">
        <v>0.2161547212741752</v>
      </c>
      <c r="E18" s="4" t="n">
        <v>113</v>
      </c>
      <c r="F18" s="5" t="n">
        <v>0.07434210526315789</v>
      </c>
    </row>
    <row r="19">
      <c r="A19" s="3" t="inlineStr"/>
      <c r="B19" s="3" t="inlineStr">
        <is>
          <t>Yes</t>
        </is>
      </c>
      <c r="C19" s="3" t="n">
        <v>2425</v>
      </c>
      <c r="D19" s="7" t="n">
        <v>0.3448521046643914</v>
      </c>
      <c r="E19" s="3" t="n">
        <v>523</v>
      </c>
      <c r="F19" s="7" t="n">
        <v>0.2156701030927835</v>
      </c>
    </row>
    <row r="20">
      <c r="A20" s="4" t="inlineStr">
        <is>
          <t>设备保护</t>
        </is>
      </c>
      <c r="B20" s="4" t="inlineStr">
        <is>
          <t>No</t>
        </is>
      </c>
      <c r="C20" s="4" t="n">
        <v>3094</v>
      </c>
      <c r="D20" s="5" t="n">
        <v>0.4399886234357224</v>
      </c>
      <c r="E20" s="4" t="n">
        <v>1211</v>
      </c>
      <c r="F20" s="5" t="n">
        <v>0.3914027149321267</v>
      </c>
    </row>
    <row r="21">
      <c r="A21" s="3" t="inlineStr"/>
      <c r="B21" s="3" t="inlineStr">
        <is>
          <t>No internet service</t>
        </is>
      </c>
      <c r="C21" s="3" t="n">
        <v>1520</v>
      </c>
      <c r="D21" s="7" t="n">
        <v>0.2161547212741752</v>
      </c>
      <c r="E21" s="3" t="n">
        <v>113</v>
      </c>
      <c r="F21" s="7" t="n">
        <v>0.07434210526315789</v>
      </c>
    </row>
    <row r="22">
      <c r="A22" s="4" t="inlineStr"/>
      <c r="B22" s="4" t="inlineStr">
        <is>
          <t>Yes</t>
        </is>
      </c>
      <c r="C22" s="4" t="n">
        <v>2418</v>
      </c>
      <c r="D22" s="5" t="n">
        <v>0.3438566552901024</v>
      </c>
      <c r="E22" s="4" t="n">
        <v>545</v>
      </c>
      <c r="F22" s="5" t="n">
        <v>0.2253928866832093</v>
      </c>
    </row>
    <row r="23">
      <c r="A23" s="3" t="inlineStr">
        <is>
          <t>电子账单</t>
        </is>
      </c>
      <c r="B23" s="3" t="inlineStr">
        <is>
          <t>No</t>
        </is>
      </c>
      <c r="C23" s="3" t="n">
        <v>2864</v>
      </c>
      <c r="D23" s="7" t="n">
        <v>0.4072810011376564</v>
      </c>
      <c r="E23" s="3" t="n">
        <v>469</v>
      </c>
      <c r="F23" s="7" t="n">
        <v>0.1637569832402235</v>
      </c>
    </row>
    <row r="24">
      <c r="A24" s="4" t="inlineStr"/>
      <c r="B24" s="4" t="inlineStr">
        <is>
          <t>Yes</t>
        </is>
      </c>
      <c r="C24" s="4" t="n">
        <v>4168</v>
      </c>
      <c r="D24" s="5" t="n">
        <v>0.5927189988623436</v>
      </c>
      <c r="E24" s="4" t="n">
        <v>1400</v>
      </c>
      <c r="F24" s="5" t="n">
        <v>0.3358925143953935</v>
      </c>
    </row>
    <row r="25">
      <c r="A25" s="3" t="inlineStr">
        <is>
          <t>家庭绑定</t>
        </is>
      </c>
      <c r="B25" s="3" t="b">
        <v>0</v>
      </c>
      <c r="C25" s="3" t="n">
        <v>3280</v>
      </c>
      <c r="D25" s="7" t="n">
        <v>0.4664391353811149</v>
      </c>
      <c r="E25" s="3" t="n">
        <v>1123</v>
      </c>
      <c r="F25" s="7" t="n">
        <v>0.3423780487804878</v>
      </c>
    </row>
    <row r="26">
      <c r="A26" s="4" t="inlineStr"/>
      <c r="B26" s="4" t="b">
        <v>1</v>
      </c>
      <c r="C26" s="4" t="n">
        <v>3752</v>
      </c>
      <c r="D26" s="5" t="n">
        <v>0.5335608646188851</v>
      </c>
      <c r="E26" s="4" t="n">
        <v>746</v>
      </c>
      <c r="F26" s="5" t="n">
        <v>0.1988272921108742</v>
      </c>
    </row>
    <row r="27">
      <c r="A27" s="3" t="inlineStr">
        <is>
          <t>安全+支持套餐</t>
        </is>
      </c>
      <c r="B27" s="3" t="b">
        <v>0</v>
      </c>
      <c r="C27" s="3" t="n">
        <v>5936</v>
      </c>
      <c r="D27" s="7" t="n">
        <v>0.8441410693970421</v>
      </c>
      <c r="E27" s="3" t="n">
        <v>1770</v>
      </c>
      <c r="F27" s="7" t="n">
        <v>0.2981805929919137</v>
      </c>
    </row>
    <row r="28">
      <c r="A28" s="4" t="inlineStr"/>
      <c r="B28" s="4" t="b">
        <v>1</v>
      </c>
      <c r="C28" s="4" t="n">
        <v>1096</v>
      </c>
      <c r="D28" s="5" t="n">
        <v>0.1558589306029579</v>
      </c>
      <c r="E28" s="4" t="n">
        <v>99</v>
      </c>
      <c r="F28" s="5" t="n">
        <v>0.09032846715328467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A8D08D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📋 交叉分析 - 合同类型 × 在网时长</t>
        </is>
      </c>
    </row>
    <row r="3">
      <c r="A3" s="2" t="inlineStr">
        <is>
          <t>合同类型</t>
        </is>
      </c>
      <c r="B3" s="2" t="inlineStr">
        <is>
          <t>0-6月</t>
        </is>
      </c>
      <c r="C3" s="2" t="inlineStr">
        <is>
          <t>7-12月</t>
        </is>
      </c>
      <c r="D3" s="2" t="inlineStr">
        <is>
          <t>13-24月</t>
        </is>
      </c>
      <c r="E3" s="2" t="inlineStr">
        <is>
          <t>25-48月</t>
        </is>
      </c>
      <c r="F3" s="2" t="inlineStr">
        <is>
          <t>49-72月</t>
        </is>
      </c>
      <c r="G3" s="2" t="inlineStr">
        <is>
          <t>整体</t>
        </is>
      </c>
    </row>
    <row r="4">
      <c r="A4" s="3" t="inlineStr">
        <is>
          <t>Month-to-month</t>
        </is>
      </c>
      <c r="B4" s="7" t="n">
        <v>0.5520169851380042</v>
      </c>
      <c r="C4" s="7" t="n">
        <v>0.4199655765920826</v>
      </c>
      <c r="D4" s="7" t="n">
        <v>0.3772048846675712</v>
      </c>
      <c r="E4" s="7" t="n">
        <v>0.3291770573566085</v>
      </c>
      <c r="F4" s="7" t="n">
        <v>0.260233918128655</v>
      </c>
      <c r="G4" s="7" t="n">
        <v>0.4270967741935484</v>
      </c>
    </row>
    <row r="5">
      <c r="A5" s="4" t="inlineStr">
        <is>
          <t>One year</t>
        </is>
      </c>
      <c r="B5" s="5" t="n">
        <v>0.1052631578947368</v>
      </c>
      <c r="C5" s="5" t="n">
        <v>0.1058823529411765</v>
      </c>
      <c r="D5" s="5" t="n">
        <v>0.08121827411167512</v>
      </c>
      <c r="E5" s="5" t="n">
        <v>0.1061776061776062</v>
      </c>
      <c r="F5" s="5" t="n">
        <v>0.1293375394321767</v>
      </c>
      <c r="G5" s="5" t="n">
        <v>0.1127717391304348</v>
      </c>
    </row>
    <row r="6">
      <c r="A6" s="3" t="inlineStr">
        <is>
          <t>Two year</t>
        </is>
      </c>
      <c r="B6" s="7" t="n">
        <v>0</v>
      </c>
      <c r="C6" s="7" t="n">
        <v>0</v>
      </c>
      <c r="D6" s="7" t="n">
        <v>0</v>
      </c>
      <c r="E6" s="7" t="n">
        <v>0.0218978102189781</v>
      </c>
      <c r="F6" s="7" t="n">
        <v>0.0332541567695962</v>
      </c>
      <c r="G6" s="7" t="n">
        <v>0.028486646884273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FFC000"/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6" customWidth="1" min="3" max="3"/>
    <col width="22" customWidth="1" min="4" max="4"/>
    <col width="16" customWidth="1" min="5" max="5"/>
    <col width="16" customWidth="1" min="6" max="6"/>
  </cols>
  <sheetData>
    <row r="1" ht="30" customHeight="1">
      <c r="A1" s="8" t="inlineStr">
        <is>
          <t>📊 Telco Churn 分析看板</t>
        </is>
      </c>
    </row>
    <row r="3">
      <c r="A3" s="9" t="inlineStr">
        <is>
          <t>26.6%</t>
        </is>
      </c>
      <c r="B3" s="10" t="n"/>
      <c r="C3" s="9" t="inlineStr">
        <is>
          <t>55.1%</t>
        </is>
      </c>
      <c r="D3" s="10" t="n"/>
      <c r="E3" s="9" t="inlineStr">
        <is>
          <t>53.3%</t>
        </is>
      </c>
      <c r="F3" s="10" t="n"/>
      <c r="G3" s="9" t="inlineStr">
        <is>
          <t>$+13.1</t>
        </is>
      </c>
      <c r="H3" s="10" t="n"/>
    </row>
    <row r="4">
      <c r="A4" s="11" t="inlineStr">
        <is>
          <t>整体流失率</t>
        </is>
      </c>
      <c r="B4" s="12" t="n"/>
      <c r="C4" s="11" t="inlineStr">
        <is>
          <t>月付客户占比</t>
        </is>
      </c>
      <c r="D4" s="12" t="n"/>
      <c r="E4" s="11" t="inlineStr">
        <is>
          <t>前6月流失率</t>
        </is>
      </c>
      <c r="F4" s="12" t="n"/>
      <c r="G4" s="11" t="inlineStr">
        <is>
          <t>月费差异</t>
        </is>
      </c>
      <c r="H4" s="12" t="n"/>
    </row>
    <row r="5">
      <c r="A5" s="13" t="inlineStr">
        <is>
          <t>26.5% 是电信行业偏高水平，需重点关注</t>
        </is>
      </c>
      <c r="B5" s="12" t="n"/>
      <c r="C5" s="13" t="inlineStr">
        <is>
          <t>超过一半客户是月付，缺乏长期绑定</t>
        </is>
      </c>
      <c r="D5" s="12" t="n"/>
      <c r="E5" s="13" t="inlineStr">
        <is>
          <t>每2个新客有1个在头半年流失</t>
        </is>
      </c>
      <c r="F5" s="12" t="n"/>
      <c r="G5" s="13" t="inlineStr">
        <is>
          <t>流失客户月费平均高$13.2，可能价格敏感</t>
        </is>
      </c>
      <c r="H5" s="12" t="n"/>
    </row>
    <row r="7">
      <c r="A7" s="14" t="inlineStr">
        <is>
          <t>🧠 5种思维模型提炼</t>
        </is>
      </c>
    </row>
    <row r="8">
      <c r="A8" s="15" t="inlineStr">
        <is>
          <t>A. 分解思维</t>
        </is>
      </c>
    </row>
    <row r="9" ht="60" customHeight="1">
      <c r="A9" s="16" t="inlineStr">
        <is>
          <t>将总流失率 26.6% 分解到各维度：
• 月付客户贡献了总流失的 23.5%（占55%客户，流失率42.7%）
• 前6个月新客贡献了总流失的 16.2%（占26%客户，流失率53.3%）
→ 改善优先级：月付 &gt; 新客 &gt; 光纤客户</t>
        </is>
      </c>
    </row>
    <row r="10">
      <c r="A10" s="15" t="inlineStr">
        <is>
          <t>B. 分层差异</t>
        </is>
      </c>
    </row>
    <row r="11" ht="60" customHeight="1">
      <c r="A11" s="16" t="inlineStr">
        <is>
          <t>在网时长组之间流失率差异高达 5.6 倍：
• 0-6月: 53.3% | 7-12月: 35.9% | 13-24月: 28.7% | 25-48月: 20.4% | 49-72月: 9.5%
→ 不要只看平均值（26.6%），新老客户行为完全不同</t>
        </is>
      </c>
    </row>
    <row r="12">
      <c r="A12" s="15" t="inlineStr">
        <is>
          <t>C. 代理推断</t>
        </is>
      </c>
    </row>
    <row r="13" ht="60" customHeight="1">
      <c r="A13" s="16" t="inlineStr">
        <is>
          <t>"服务粘性"无法直接测量，用以下代理变量推断：
• 附加服务数量：0个=21.4%流失 → 6个=5.3%流失（每多1个服务，流失率降约3%）
• 在线安全+技术支持双重用户流失率仅 12.0%
→ 附加服务数量是客户粘性的有效代理指标</t>
        </is>
      </c>
    </row>
    <row r="14">
      <c r="A14" s="15" t="inlineStr">
        <is>
          <t>D. 约束vs偏好</t>
        </is>
      </c>
    </row>
    <row r="15" ht="60" customHeight="1">
      <c r="A15" s="16" t="inlineStr">
        <is>
          <t>光纤客户流失率41.9% vs DSL客户19.0%：
• 约束假说：光纤网络质量或价格有问题 → 需要修网络/调价
• 偏好假说：68.7%光纤客户选月付（DSL仅50.6%）→ 客户群本身更短期导向
• 结论：两种因素并存，但"偏好"被数据更充分支持
→ 行动应侧重合约设计而非网络投资</t>
        </is>
      </c>
    </row>
    <row r="16">
      <c r="A16" s="15" t="inlineStr">
        <is>
          <t>E. 杠杆点</t>
        </is>
      </c>
    </row>
    <row r="17" ht="60" customHeight="1">
      <c r="A17" s="16" t="inlineStr">
        <is>
          <t>寻找高占比 × 高改进潜力的细分：
• 月付客户：占比55.1%，流失率42.7% → 杠杆值 ≈ 55% × (42.7%-26.6%) = 8.9
• 前6月新客：占比26.3%，流失率53.3% → 杠杆值 ≈ 26% × (53.3%-26.6%) = 7.0
• 最高杠杆：改善月付客户的入网体验，特别是前6个月</t>
        </is>
      </c>
    </row>
    <row r="19">
      <c r="A19" s="14" t="inlineStr">
        <is>
          <t>💡 核心建议</t>
        </is>
      </c>
    </row>
    <row r="20">
      <c r="A20" s="2" t="inlineStr">
        <is>
          <t>优先级</t>
        </is>
      </c>
      <c r="B20" s="2" t="inlineStr">
        <is>
          <t>建议行动</t>
        </is>
      </c>
      <c r="C20" s="2" t="inlineStr">
        <is>
          <t>预期影响</t>
        </is>
      </c>
      <c r="D20" s="2" t="inlineStr">
        <is>
          <t>追踪指标</t>
        </is>
      </c>
      <c r="E20" s="2" t="inlineStr">
        <is>
          <t>投入成本</t>
        </is>
      </c>
    </row>
    <row r="21">
      <c r="A21" s="17" t="inlineStr">
        <is>
          <t>P0</t>
        </is>
      </c>
      <c r="B21" s="17" t="inlineStr">
        <is>
          <t>月付新客: 前3个月免费试用在线安全+技术支持</t>
        </is>
      </c>
      <c r="C21" s="17" t="inlineStr">
        <is>
          <t>预计降低新客流失率15-20%</t>
        </is>
      </c>
      <c r="D21" s="17" t="inlineStr">
        <is>
          <t>首季流失率、安全包渗透率</t>
        </is>
      </c>
      <c r="E21" s="17" t="inlineStr">
        <is>
          <t>低（免费试用）</t>
        </is>
      </c>
    </row>
    <row r="22">
      <c r="A22" s="4" t="inlineStr">
        <is>
          <t>P1</t>
        </is>
      </c>
      <c r="B22" s="4" t="inlineStr">
        <is>
          <t>推出家庭套餐折扣（绑定配偶/子女）</t>
        </is>
      </c>
      <c r="C22" s="4" t="inlineStr">
        <is>
          <t>有家庭客户流失率仅14.2%（vs 34.2%）</t>
        </is>
      </c>
      <c r="D22" s="4" t="inlineStr">
        <is>
          <t>家庭套餐占比、流失率</t>
        </is>
      </c>
      <c r="E22" s="4" t="inlineStr">
        <is>
          <t>中（套餐设计）</t>
        </is>
      </c>
    </row>
    <row r="23">
      <c r="A23" s="3" t="inlineStr">
        <is>
          <t>P1</t>
        </is>
      </c>
      <c r="B23" s="3" t="inlineStr">
        <is>
          <t>光纤客户: 提供6个月合约折扣而非月付</t>
        </is>
      </c>
      <c r="C23" s="3" t="inlineStr">
        <is>
          <t>光纤客户月付比例68.7%，转合约可降流失</t>
        </is>
      </c>
      <c r="D23" s="3" t="inlineStr">
        <is>
          <t>光纤合约转化率</t>
        </is>
      </c>
      <c r="E23" s="3" t="inlineStr">
        <is>
          <t>中（收入延迟）</t>
        </is>
      </c>
    </row>
    <row r="24">
      <c r="A24" s="4" t="inlineStr">
        <is>
          <t>P2</t>
        </is>
      </c>
      <c r="B24" s="4" t="inlineStr">
        <is>
          <t>流失预警: 对月付+前6月+高月费客户主动外呼</t>
        </is>
      </c>
      <c r="C24" s="4" t="inlineStr">
        <is>
          <t>精准覆盖最高危群体</t>
        </is>
      </c>
      <c r="D24" s="4" t="inlineStr">
        <is>
          <t>干预覆盖率、挽回率</t>
        </is>
      </c>
      <c r="E24" s="4" t="inlineStr">
        <is>
          <t>高（人力成本）</t>
        </is>
      </c>
    </row>
  </sheetData>
  <mergeCells count="25">
    <mergeCell ref="A16:F16"/>
    <mergeCell ref="C5:D5"/>
    <mergeCell ref="E5:F5"/>
    <mergeCell ref="A12:F12"/>
    <mergeCell ref="C4:D4"/>
    <mergeCell ref="E4:F4"/>
    <mergeCell ref="A14:F14"/>
    <mergeCell ref="A8:F8"/>
    <mergeCell ref="A17:F17"/>
    <mergeCell ref="A3:B3"/>
    <mergeCell ref="G3:H3"/>
    <mergeCell ref="A10:F10"/>
    <mergeCell ref="A13:F13"/>
    <mergeCell ref="A19:F19"/>
    <mergeCell ref="A9:F9"/>
    <mergeCell ref="A5:B5"/>
    <mergeCell ref="G5:H5"/>
    <mergeCell ref="A15:F15"/>
    <mergeCell ref="A4:B4"/>
    <mergeCell ref="G4:H4"/>
    <mergeCell ref="A11:F11"/>
    <mergeCell ref="A1:F1"/>
    <mergeCell ref="E3:F3"/>
    <mergeCell ref="C3:D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2026-05-31T14:07:26Z</dcterms:created>
  <dcterms:modified xmlns:dcterms="http://purl.org/dc/terms/" xmlns:xsi="http://www.w3.org/2001/XMLSchema-instance" xsi:type="dcterms:W3CDTF">2026-05-31T14:07:27Z</dcterms:modified>
</cp:coreProperties>
</file>