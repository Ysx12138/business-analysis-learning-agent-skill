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2023财务总览" sheetId="2" state="visible" r:id="rId2"/>
    <sheet xmlns:r="http://schemas.openxmlformats.org/officeDocument/2006/relationships" name="同比增长率" sheetId="3" state="visible" r:id="rId3"/>
    <sheet xmlns:r="http://schemas.openxmlformats.org/officeDocument/2006/relationships" name="盈利能力分析" sheetId="4" state="visible" r:id="rId4"/>
    <sheet xmlns:r="http://schemas.openxmlformats.org/officeDocument/2006/relationships" name="跨公司对标" sheetId="5" state="visible" r:id="rId5"/>
    <sheet xmlns:r="http://schemas.openxmlformats.org/officeDocument/2006/relationships" name="分析看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365D"/>
      <sz val="14"/>
    </font>
    <font>
      <b val="1"/>
      <color rgb="001B365D"/>
      <sz val="11"/>
    </font>
    <font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利润率对比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'盈利能力分析'!C1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'盈利能力分析'!$A$2:$A$10</f>
            </numRef>
          </cat>
          <val>
            <numRef>
              <f>'盈利能力分析'!$C$2:$C$10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利润率%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 vs 净利 (百万美元)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'跨公司对标'!C1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'跨公司对标'!$A$2:$A$4</f>
            </numRef>
          </cat>
          <val>
            <numRef>
              <f>'跨公司对标'!$C$2:$C$4</f>
            </numRef>
          </val>
        </ser>
        <ser>
          <idx val="1"/>
          <order val="1"/>
          <tx>
            <strRef>
              <f>'跨公司对标'!D1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'跨公司对标'!$A$2:$A$4</f>
            </numRef>
          </cat>
          <val>
            <numRef>
              <f>'跨公司对标'!$D$2:$D$4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6" customWidth="1" min="4" max="4"/>
    <col width="17" customWidth="1" min="5" max="5"/>
    <col width="14" customWidth="1" min="6" max="6"/>
    <col width="16" customWidth="1" min="7" max="7"/>
    <col width="21" customWidth="1" min="8" max="8"/>
    <col width="13" customWidth="1" min="9" max="9"/>
  </cols>
  <sheetData>
    <row r="1">
      <c r="A1" s="1" t="inlineStr">
        <is>
          <t>Company_Name</t>
        </is>
      </c>
      <c r="B1" s="1" t="inlineStr">
        <is>
          <t>CIK_Number</t>
        </is>
      </c>
      <c r="C1" s="1" t="inlineStr">
        <is>
          <t>Year</t>
        </is>
      </c>
      <c r="D1" s="1" t="inlineStr">
        <is>
          <t>Filling_Type</t>
        </is>
      </c>
      <c r="E1" s="1" t="inlineStr">
        <is>
          <t>Total_Revenue</t>
        </is>
      </c>
      <c r="F1" s="1" t="inlineStr">
        <is>
          <t>Net_Income</t>
        </is>
      </c>
      <c r="G1" s="1" t="inlineStr">
        <is>
          <t>Total_Assets</t>
        </is>
      </c>
      <c r="H1" s="1" t="inlineStr">
        <is>
          <t>Total_Liabilities</t>
        </is>
      </c>
      <c r="I1" s="1" t="inlineStr">
        <is>
          <t>Cash_Flow</t>
        </is>
      </c>
    </row>
    <row r="2">
      <c r="A2" t="inlineStr">
        <is>
          <t>Apple</t>
        </is>
      </c>
      <c r="B2" t="n">
        <v>320193</v>
      </c>
      <c r="C2" t="n">
        <v>2021</v>
      </c>
      <c r="D2" t="inlineStr">
        <is>
          <t>10-K</t>
        </is>
      </c>
      <c r="E2" t="n">
        <v>365817</v>
      </c>
      <c r="F2" t="n">
        <v>94680</v>
      </c>
      <c r="G2" t="n">
        <v>351002</v>
      </c>
      <c r="H2" t="n">
        <v>287912</v>
      </c>
      <c r="I2" t="n">
        <v>104038</v>
      </c>
    </row>
    <row r="3">
      <c r="A3" t="inlineStr">
        <is>
          <t>Apple</t>
        </is>
      </c>
      <c r="B3" t="n">
        <v>320193</v>
      </c>
      <c r="C3" t="n">
        <v>2022</v>
      </c>
      <c r="D3" t="inlineStr">
        <is>
          <t>10-K</t>
        </is>
      </c>
      <c r="E3" t="n">
        <v>394328</v>
      </c>
      <c r="F3" t="n">
        <v>99803</v>
      </c>
      <c r="G3" t="n">
        <v>352755</v>
      </c>
      <c r="H3" t="n">
        <v>302083</v>
      </c>
      <c r="I3" t="n">
        <v>122151</v>
      </c>
    </row>
    <row r="4">
      <c r="A4" t="inlineStr">
        <is>
          <t>Apple</t>
        </is>
      </c>
      <c r="B4" t="n">
        <v>320193</v>
      </c>
      <c r="C4" t="n">
        <v>2023</v>
      </c>
      <c r="D4" t="inlineStr">
        <is>
          <t>10-K</t>
        </is>
      </c>
      <c r="E4" t="n">
        <v>383285</v>
      </c>
      <c r="F4" t="n">
        <v>96995</v>
      </c>
      <c r="G4" t="n">
        <v>352583</v>
      </c>
      <c r="H4" t="n">
        <v>290437</v>
      </c>
      <c r="I4" t="n">
        <v>110543</v>
      </c>
    </row>
    <row r="5">
      <c r="A5" t="inlineStr">
        <is>
          <t>Microsoft</t>
        </is>
      </c>
      <c r="B5" t="n">
        <v>789019</v>
      </c>
      <c r="C5" t="n">
        <v>2021</v>
      </c>
      <c r="D5" t="inlineStr">
        <is>
          <t>10-K</t>
        </is>
      </c>
      <c r="E5" t="n">
        <v>168088</v>
      </c>
      <c r="F5" t="n">
        <v>61271</v>
      </c>
      <c r="G5" t="n">
        <v>333779</v>
      </c>
      <c r="H5" t="n">
        <v>191791</v>
      </c>
      <c r="I5" t="n">
        <v>76740</v>
      </c>
    </row>
    <row r="6">
      <c r="A6" t="inlineStr">
        <is>
          <t>Microsoft</t>
        </is>
      </c>
      <c r="B6" t="n">
        <v>789019</v>
      </c>
      <c r="C6" t="n">
        <v>2022</v>
      </c>
      <c r="D6" t="inlineStr">
        <is>
          <t>10-K</t>
        </is>
      </c>
      <c r="E6" t="n">
        <v>198270</v>
      </c>
      <c r="F6" t="n">
        <v>72738</v>
      </c>
      <c r="G6" t="n">
        <v>364840</v>
      </c>
      <c r="H6" t="n">
        <v>198298</v>
      </c>
      <c r="I6" t="n">
        <v>89035</v>
      </c>
    </row>
    <row r="7">
      <c r="A7" t="inlineStr">
        <is>
          <t>Microsoft</t>
        </is>
      </c>
      <c r="B7" t="n">
        <v>789019</v>
      </c>
      <c r="C7" t="n">
        <v>2023</v>
      </c>
      <c r="D7" t="inlineStr">
        <is>
          <t>10-K</t>
        </is>
      </c>
      <c r="E7" t="n">
        <v>211915</v>
      </c>
      <c r="F7" t="n">
        <v>72361</v>
      </c>
      <c r="G7" t="n">
        <v>411976</v>
      </c>
      <c r="H7" t="n">
        <v>205753</v>
      </c>
      <c r="I7" t="n">
        <v>87582</v>
      </c>
    </row>
    <row r="8">
      <c r="A8" t="inlineStr">
        <is>
          <t>Tesla</t>
        </is>
      </c>
      <c r="B8" t="n">
        <v>1318605</v>
      </c>
      <c r="C8" t="n">
        <v>2020</v>
      </c>
      <c r="D8" t="inlineStr">
        <is>
          <t>10-K</t>
        </is>
      </c>
      <c r="E8" t="n">
        <v>31536</v>
      </c>
      <c r="F8" t="n">
        <v>862</v>
      </c>
      <c r="G8" t="n">
        <v>52148</v>
      </c>
      <c r="H8" t="n">
        <v>28418</v>
      </c>
      <c r="I8" t="n">
        <v>19384</v>
      </c>
    </row>
    <row r="9">
      <c r="A9" t="inlineStr">
        <is>
          <t>Tesla</t>
        </is>
      </c>
      <c r="B9" t="n">
        <v>1318605</v>
      </c>
      <c r="C9" t="n">
        <v>2021</v>
      </c>
      <c r="D9" t="inlineStr">
        <is>
          <t>10-K</t>
        </is>
      </c>
      <c r="E9" t="n">
        <v>53823</v>
      </c>
      <c r="F9" t="n">
        <v>5644</v>
      </c>
      <c r="G9" t="n">
        <v>62131</v>
      </c>
      <c r="H9" t="n">
        <v>30548</v>
      </c>
      <c r="I9" t="n">
        <v>11497</v>
      </c>
    </row>
    <row r="10">
      <c r="A10" t="inlineStr">
        <is>
          <t>Tesla</t>
        </is>
      </c>
      <c r="B10" t="n">
        <v>1318605</v>
      </c>
      <c r="C10" t="n">
        <v>2022</v>
      </c>
      <c r="D10" t="inlineStr">
        <is>
          <t>10-K</t>
        </is>
      </c>
      <c r="E10" t="n">
        <v>81462</v>
      </c>
      <c r="F10" t="n">
        <v>12587</v>
      </c>
      <c r="G10" t="n">
        <v>82338</v>
      </c>
      <c r="H10" t="n">
        <v>36440</v>
      </c>
      <c r="I10" t="n">
        <v>14724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6" customWidth="1" min="4" max="4"/>
    <col width="21" customWidth="1" min="5" max="5"/>
    <col width="13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>
      <c r="A1" s="1" t="inlineStr">
        <is>
          <t>Company_Name</t>
        </is>
      </c>
      <c r="B1" s="1" t="inlineStr">
        <is>
          <t>Total_Revenue</t>
        </is>
      </c>
      <c r="C1" s="1" t="inlineStr">
        <is>
          <t>Net_Income</t>
        </is>
      </c>
      <c r="D1" s="1" t="inlineStr">
        <is>
          <t>Total_Assets</t>
        </is>
      </c>
      <c r="E1" s="1" t="inlineStr">
        <is>
          <t>Total_Liabilities</t>
        </is>
      </c>
      <c r="F1" s="1" t="inlineStr">
        <is>
          <t>Cash_Flow</t>
        </is>
      </c>
      <c r="G1" s="1" t="inlineStr">
        <is>
          <t>利润率_%</t>
        </is>
      </c>
      <c r="H1" s="1" t="inlineStr">
        <is>
          <t>负债率_%</t>
        </is>
      </c>
      <c r="I1" s="1" t="inlineStr">
        <is>
          <t>ROA_%</t>
        </is>
      </c>
      <c r="J1" s="1" t="inlineStr">
        <is>
          <t>现金资产比_%</t>
        </is>
      </c>
    </row>
    <row r="2">
      <c r="A2" t="inlineStr">
        <is>
          <t>Apple</t>
        </is>
      </c>
      <c r="B2" t="n">
        <v>383285</v>
      </c>
      <c r="C2" t="n">
        <v>96995</v>
      </c>
      <c r="D2" t="n">
        <v>352583</v>
      </c>
      <c r="E2" t="n">
        <v>290437</v>
      </c>
      <c r="F2" t="n">
        <v>110543</v>
      </c>
      <c r="G2" t="n">
        <v>25.31</v>
      </c>
      <c r="H2" t="n">
        <v>82.37</v>
      </c>
      <c r="I2" t="n">
        <v>27.51</v>
      </c>
      <c r="J2" t="n">
        <v>31.35</v>
      </c>
    </row>
    <row r="3">
      <c r="A3" t="inlineStr">
        <is>
          <t>Microsoft</t>
        </is>
      </c>
      <c r="B3" t="n">
        <v>211915</v>
      </c>
      <c r="C3" t="n">
        <v>72361</v>
      </c>
      <c r="D3" t="n">
        <v>411976</v>
      </c>
      <c r="E3" t="n">
        <v>205753</v>
      </c>
      <c r="F3" t="n">
        <v>87582</v>
      </c>
      <c r="G3" t="n">
        <v>34.15</v>
      </c>
      <c r="H3" t="n">
        <v>49.94</v>
      </c>
      <c r="I3" t="n">
        <v>17.56</v>
      </c>
      <c r="J3" t="n">
        <v>21.26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收入趋势 (百万美元)</t>
        </is>
      </c>
    </row>
    <row r="2"/>
    <row r="3">
      <c r="A3" s="1" t="inlineStr">
        <is>
          <t>Company_Name</t>
        </is>
      </c>
      <c r="B3" s="1" t="n">
        <v>2020</v>
      </c>
      <c r="C3" s="1" t="n">
        <v>2021</v>
      </c>
      <c r="D3" s="1" t="n">
        <v>2022</v>
      </c>
      <c r="E3" s="1" t="n">
        <v>2023</v>
      </c>
    </row>
    <row r="4">
      <c r="A4" t="inlineStr">
        <is>
          <t>Apple</t>
        </is>
      </c>
      <c r="B4" t="n">
        <v/>
      </c>
      <c r="C4" t="n">
        <v>365817</v>
      </c>
      <c r="D4" t="n">
        <v>394328</v>
      </c>
      <c r="E4" t="n">
        <v>383285</v>
      </c>
    </row>
    <row r="5">
      <c r="A5" t="inlineStr">
        <is>
          <t>Microsoft</t>
        </is>
      </c>
      <c r="B5" t="n">
        <v/>
      </c>
      <c r="C5" t="n">
        <v>168088</v>
      </c>
      <c r="D5" t="n">
        <v>198270</v>
      </c>
      <c r="E5" t="n">
        <v>211915</v>
      </c>
    </row>
    <row r="6">
      <c r="A6" t="inlineStr">
        <is>
          <t>Tesla</t>
        </is>
      </c>
      <c r="B6" t="n">
        <v>31536</v>
      </c>
      <c r="C6" t="n">
        <v>53823</v>
      </c>
      <c r="D6" t="n">
        <v>81462</v>
      </c>
      <c r="E6" t="n">
        <v/>
      </c>
    </row>
    <row r="7"/>
    <row r="8">
      <c r="A8" t="inlineStr">
        <is>
          <t>净利趋势 (百万美元)</t>
        </is>
      </c>
    </row>
    <row r="9">
      <c r="A9" t="inlineStr">
        <is>
          <t>Company_Name</t>
        </is>
      </c>
      <c r="B9" t="n">
        <v>2020</v>
      </c>
      <c r="C9" t="n">
        <v>2021</v>
      </c>
      <c r="D9" t="n">
        <v>2022</v>
      </c>
      <c r="E9" t="n">
        <v>2023</v>
      </c>
    </row>
    <row r="10">
      <c r="A10" t="inlineStr">
        <is>
          <t>Apple</t>
        </is>
      </c>
      <c r="B10" t="n">
        <v/>
      </c>
      <c r="C10" t="n">
        <v>94680</v>
      </c>
      <c r="D10" t="n">
        <v>99803</v>
      </c>
      <c r="E10" t="n">
        <v>96995</v>
      </c>
    </row>
    <row r="11">
      <c r="A11" t="inlineStr">
        <is>
          <t>Microsoft</t>
        </is>
      </c>
      <c r="B11" t="n">
        <v/>
      </c>
      <c r="C11" t="n">
        <v>61271</v>
      </c>
      <c r="D11" t="n">
        <v>72738</v>
      </c>
      <c r="E11" t="n">
        <v>72361</v>
      </c>
    </row>
    <row r="12">
      <c r="A12" t="inlineStr">
        <is>
          <t>Tesla</t>
        </is>
      </c>
      <c r="B12" t="n">
        <v>862</v>
      </c>
      <c r="C12" t="n">
        <v>5644</v>
      </c>
      <c r="D12" t="n">
        <v>12587</v>
      </c>
      <c r="E12" t="n">
        <v/>
      </c>
    </row>
    <row r="13"/>
    <row r="14">
      <c r="A14" t="inlineStr">
        <is>
          <t>同比增长率 (%)</t>
        </is>
      </c>
    </row>
    <row r="15">
      <c r="A15" s="2" t="inlineStr">
        <is>
          <t>公司</t>
        </is>
      </c>
      <c r="B15" s="2" t="inlineStr">
        <is>
          <t>期间</t>
        </is>
      </c>
      <c r="C15" s="2" t="inlineStr">
        <is>
          <t>收入增长%</t>
        </is>
      </c>
      <c r="D15" s="2" t="inlineStr">
        <is>
          <t>净利增长%</t>
        </is>
      </c>
    </row>
    <row r="16">
      <c r="A16" t="inlineStr">
        <is>
          <t>Apple</t>
        </is>
      </c>
      <c r="B16" t="inlineStr">
        <is>
          <t>2021-2022</t>
        </is>
      </c>
      <c r="C16" t="n">
        <v>7.79</v>
      </c>
      <c r="D16" t="n">
        <v>5.41</v>
      </c>
    </row>
    <row r="17">
      <c r="A17" t="inlineStr">
        <is>
          <t>Apple</t>
        </is>
      </c>
      <c r="B17" t="inlineStr">
        <is>
          <t>2022-2023</t>
        </is>
      </c>
      <c r="C17" t="n">
        <v>-2.8</v>
      </c>
      <c r="D17" t="n">
        <v>-2.81</v>
      </c>
    </row>
    <row r="18">
      <c r="A18" t="inlineStr">
        <is>
          <t>Microsoft</t>
        </is>
      </c>
      <c r="B18" t="inlineStr">
        <is>
          <t>2021-2022</t>
        </is>
      </c>
      <c r="C18" t="n">
        <v>17.96</v>
      </c>
      <c r="D18" t="n">
        <v>18.72</v>
      </c>
    </row>
    <row r="19">
      <c r="A19" t="inlineStr">
        <is>
          <t>Microsoft</t>
        </is>
      </c>
      <c r="B19" t="inlineStr">
        <is>
          <t>2022-2023</t>
        </is>
      </c>
      <c r="C19" t="n">
        <v>6.88</v>
      </c>
      <c r="D19" t="n">
        <v>-0.52</v>
      </c>
    </row>
    <row r="20">
      <c r="A20" t="inlineStr">
        <is>
          <t>Tesla</t>
        </is>
      </c>
      <c r="B20" t="inlineStr">
        <is>
          <t>2020-2021</t>
        </is>
      </c>
      <c r="C20" t="n">
        <v>70.67</v>
      </c>
      <c r="D20" t="n">
        <v>554.76</v>
      </c>
    </row>
    <row r="21">
      <c r="A21" t="inlineStr">
        <is>
          <t>Tesla</t>
        </is>
      </c>
      <c r="B21" t="inlineStr">
        <is>
          <t>2021-2022</t>
        </is>
      </c>
      <c r="C21" t="n">
        <v>51.35</v>
      </c>
      <c r="D21" t="n">
        <v>123.02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公司</t>
        </is>
      </c>
      <c r="B1" s="1" t="inlineStr">
        <is>
          <t>年份</t>
        </is>
      </c>
      <c r="C1" s="1" t="inlineStr">
        <is>
          <t>利润率_%</t>
        </is>
      </c>
      <c r="D1" s="1" t="inlineStr">
        <is>
          <t>ROA_%</t>
        </is>
      </c>
      <c r="E1" s="1" t="inlineStr">
        <is>
          <t>负债率_%</t>
        </is>
      </c>
    </row>
    <row r="2">
      <c r="A2" t="inlineStr">
        <is>
          <t>Apple</t>
        </is>
      </c>
      <c r="B2" t="n">
        <v>2021</v>
      </c>
      <c r="C2" t="n">
        <v>25.88</v>
      </c>
      <c r="D2" t="n">
        <v>26.97</v>
      </c>
      <c r="E2" t="n">
        <v>82.03</v>
      </c>
    </row>
    <row r="3">
      <c r="A3" t="inlineStr">
        <is>
          <t>Apple</t>
        </is>
      </c>
      <c r="B3" t="n">
        <v>2022</v>
      </c>
      <c r="C3" t="n">
        <v>25.31</v>
      </c>
      <c r="D3" t="n">
        <v>28.29</v>
      </c>
      <c r="E3" t="n">
        <v>85.64</v>
      </c>
    </row>
    <row r="4">
      <c r="A4" t="inlineStr">
        <is>
          <t>Apple</t>
        </is>
      </c>
      <c r="B4" t="n">
        <v>2023</v>
      </c>
      <c r="C4" t="n">
        <v>25.31</v>
      </c>
      <c r="D4" t="n">
        <v>27.51</v>
      </c>
      <c r="E4" t="n">
        <v>82.37</v>
      </c>
    </row>
    <row r="5">
      <c r="A5" t="inlineStr">
        <is>
          <t>Microsoft</t>
        </is>
      </c>
      <c r="B5" t="n">
        <v>2021</v>
      </c>
      <c r="C5" t="n">
        <v>36.45</v>
      </c>
      <c r="D5" t="n">
        <v>18.36</v>
      </c>
      <c r="E5" t="n">
        <v>57.46</v>
      </c>
    </row>
    <row r="6">
      <c r="A6" t="inlineStr">
        <is>
          <t>Microsoft</t>
        </is>
      </c>
      <c r="B6" t="n">
        <v>2022</v>
      </c>
      <c r="C6" t="n">
        <v>36.69</v>
      </c>
      <c r="D6" t="n">
        <v>19.94</v>
      </c>
      <c r="E6" t="n">
        <v>54.35</v>
      </c>
    </row>
    <row r="7">
      <c r="A7" t="inlineStr">
        <is>
          <t>Microsoft</t>
        </is>
      </c>
      <c r="B7" t="n">
        <v>2023</v>
      </c>
      <c r="C7" t="n">
        <v>34.15</v>
      </c>
      <c r="D7" t="n">
        <v>17.56</v>
      </c>
      <c r="E7" t="n">
        <v>49.94</v>
      </c>
    </row>
    <row r="8">
      <c r="A8" t="inlineStr">
        <is>
          <t>Tesla</t>
        </is>
      </c>
      <c r="B8" t="n">
        <v>2020</v>
      </c>
      <c r="C8" t="n">
        <v>2.73</v>
      </c>
      <c r="D8" t="n">
        <v>1.65</v>
      </c>
      <c r="E8" t="n">
        <v>54.49</v>
      </c>
    </row>
    <row r="9">
      <c r="A9" t="inlineStr">
        <is>
          <t>Tesla</t>
        </is>
      </c>
      <c r="B9" t="n">
        <v>2021</v>
      </c>
      <c r="C9" t="n">
        <v>10.49</v>
      </c>
      <c r="D9" t="n">
        <v>9.08</v>
      </c>
      <c r="E9" t="n">
        <v>49.17</v>
      </c>
    </row>
    <row r="10">
      <c r="A10" t="inlineStr">
        <is>
          <t>Tesla</t>
        </is>
      </c>
      <c r="B10" t="n">
        <v>2022</v>
      </c>
      <c r="C10" t="n">
        <v>15.45</v>
      </c>
      <c r="D10" t="n">
        <v>15.29</v>
      </c>
      <c r="E10" t="n">
        <v>44.26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7" customWidth="1" min="3" max="3"/>
    <col width="14" customWidth="1" min="4" max="4"/>
    <col width="16" customWidth="1" min="5" max="5"/>
    <col width="21" customWidth="1" min="6" max="6"/>
    <col width="13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Company_Name</t>
        </is>
      </c>
      <c r="B1" s="1" t="inlineStr">
        <is>
          <t>Year</t>
        </is>
      </c>
      <c r="C1" s="1" t="inlineStr">
        <is>
          <t>Total_Revenue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Total_Liabilities</t>
        </is>
      </c>
      <c r="G1" s="1" t="inlineStr">
        <is>
          <t>Cash_Flow</t>
        </is>
      </c>
      <c r="H1" s="1" t="inlineStr">
        <is>
          <t>利润率_%</t>
        </is>
      </c>
      <c r="I1" s="1" t="inlineStr">
        <is>
          <t>负债率_%</t>
        </is>
      </c>
      <c r="J1" s="1" t="inlineStr">
        <is>
          <t>ROA_%</t>
        </is>
      </c>
    </row>
    <row r="2">
      <c r="A2" t="inlineStr">
        <is>
          <t>Apple</t>
        </is>
      </c>
      <c r="B2" t="n">
        <v>2023</v>
      </c>
      <c r="C2" t="n">
        <v>383285</v>
      </c>
      <c r="D2" t="n">
        <v>96995</v>
      </c>
      <c r="E2" t="n">
        <v>352583</v>
      </c>
      <c r="F2" t="n">
        <v>290437</v>
      </c>
      <c r="G2" t="n">
        <v>110543</v>
      </c>
      <c r="H2" t="n">
        <v>25.31</v>
      </c>
      <c r="I2" t="n">
        <v>82.37</v>
      </c>
      <c r="J2" t="n">
        <v>27.51</v>
      </c>
    </row>
    <row r="3">
      <c r="A3" t="inlineStr">
        <is>
          <t>Microsoft</t>
        </is>
      </c>
      <c r="B3" t="n">
        <v>2023</v>
      </c>
      <c r="C3" t="n">
        <v>211915</v>
      </c>
      <c r="D3" t="n">
        <v>72361</v>
      </c>
      <c r="E3" t="n">
        <v>411976</v>
      </c>
      <c r="F3" t="n">
        <v>205753</v>
      </c>
      <c r="G3" t="n">
        <v>87582</v>
      </c>
      <c r="H3" t="n">
        <v>34.15</v>
      </c>
      <c r="I3" t="n">
        <v>49.94</v>
      </c>
      <c r="J3" t="n">
        <v>17.56</v>
      </c>
    </row>
    <row r="4">
      <c r="A4" t="inlineStr">
        <is>
          <t>Tesla</t>
        </is>
      </c>
      <c r="B4" t="n">
        <v>2022</v>
      </c>
      <c r="C4" t="n">
        <v>81462</v>
      </c>
      <c r="D4" t="n">
        <v>12587</v>
      </c>
      <c r="E4" t="n">
        <v>82338</v>
      </c>
      <c r="F4" t="n">
        <v>36440</v>
      </c>
      <c r="G4" t="n">
        <v>14724</v>
      </c>
      <c r="H4" t="n">
        <v>15.45</v>
      </c>
      <c r="I4" t="n">
        <v>44.26</v>
      </c>
      <c r="J4" t="n">
        <v>15.29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财务与运营表现 — 分析看板</t>
        </is>
      </c>
    </row>
    <row r="3">
      <c r="A3" s="4" t="inlineStr">
        <is>
          <t>核心指标 (最新年度)</t>
        </is>
      </c>
    </row>
    <row r="4">
      <c r="A4" s="2" t="inlineStr">
        <is>
          <t>指标</t>
        </is>
      </c>
      <c r="B4" s="2" t="inlineStr">
        <is>
          <t>Apple</t>
        </is>
      </c>
      <c r="C4" s="2" t="inlineStr">
        <is>
          <t>Microsoft</t>
        </is>
      </c>
      <c r="D4" s="2" t="inlineStr">
        <is>
          <t>Tesla</t>
        </is>
      </c>
    </row>
    <row r="5">
      <c r="A5" t="inlineStr">
        <is>
          <t>收入 (B$)</t>
        </is>
      </c>
      <c r="B5" t="n">
        <v>383.285</v>
      </c>
      <c r="C5" t="n">
        <v>211.915</v>
      </c>
      <c r="D5" t="n">
        <v>81.462</v>
      </c>
    </row>
    <row r="6">
      <c r="A6" t="inlineStr">
        <is>
          <t>净利 (B$)</t>
        </is>
      </c>
      <c r="B6" t="n">
        <v>96.995</v>
      </c>
      <c r="C6" t="n">
        <v>72.361</v>
      </c>
      <c r="D6" t="n">
        <v>12.587</v>
      </c>
    </row>
    <row r="7">
      <c r="A7" t="inlineStr">
        <is>
          <t>利润率 (%)</t>
        </is>
      </c>
      <c r="B7" t="n">
        <v>25.3</v>
      </c>
      <c r="C7" t="n">
        <v>34.1</v>
      </c>
      <c r="D7" t="n">
        <v>15.5</v>
      </c>
    </row>
    <row r="8">
      <c r="A8" t="inlineStr">
        <is>
          <t>负债率 (%)</t>
        </is>
      </c>
      <c r="B8" t="n">
        <v>82.40000000000001</v>
      </c>
      <c r="C8" t="n">
        <v>49.9</v>
      </c>
      <c r="D8" t="n">
        <v>44.3</v>
      </c>
    </row>
    <row r="9">
      <c r="A9" t="inlineStr">
        <is>
          <t>ROA (%)</t>
        </is>
      </c>
      <c r="B9" t="n">
        <v>27.5</v>
      </c>
      <c r="C9" t="n">
        <v>17.6</v>
      </c>
      <c r="D9" t="n">
        <v>15.3</v>
      </c>
    </row>
    <row r="10">
      <c r="A10" t="inlineStr">
        <is>
          <t>Apple 累计收入增长 (%)</t>
        </is>
      </c>
      <c r="B10" t="inlineStr"/>
      <c r="C10" t="n">
        <v>4.8</v>
      </c>
      <c r="D10" t="inlineStr"/>
    </row>
    <row r="12">
      <c r="A12" s="4" t="inlineStr">
        <is>
          <t>核心发现</t>
        </is>
      </c>
    </row>
    <row r="13">
      <c r="A13" s="5" t="inlineStr">
        <is>
          <t>1. 收入规模: Apple ($383.3B) &gt; Microsoft ($211.9B) &gt; Tesla ($81.5B)</t>
        </is>
      </c>
    </row>
    <row r="14">
      <c r="A14" s="5" t="inlineStr">
        <is>
          <t>2. 利润率: Microsoft (34.1%) 最高, Tesla (15.5%) 最低</t>
        </is>
      </c>
    </row>
    <row r="15">
      <c r="A15" s="5" t="inlineStr">
        <is>
          <t>3. 负债率: Apple 82% — 看似高但实际上 Apple 有大量长期债务而非经营负债，需结合利息覆盖倍数判断</t>
        </is>
      </c>
    </row>
    <row r="16">
      <c r="A16" s="5" t="inlineStr">
        <is>
          <t>4. 增长形态: Tesla 处于高速增长期 (2020-2022 收入增长 158%)，Apple 成熟稳定，Microsoft 稳健增长</t>
        </is>
      </c>
    </row>
    <row r="17">
      <c r="A17" s="5" t="inlineStr">
        <is>
          <t>5. 三年维度: Apple 收入增长 4.8%，显示成熟期公司的增长天花板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2026-05-31T16:38:20Z</dcterms:created>
  <dcterms:modified xmlns:dcterms="http://purl.org/dc/terms/" xmlns:xsi="http://www.w3.org/2001/XMLSchema-instance" xsi:type="dcterms:W3CDTF">2026-05-31T16:38:20Z</dcterms:modified>
</cp:coreProperties>
</file>